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<sst xmlns="http://schemas.openxmlformats.org/spreadsheetml/2006/main" count="47" uniqueCount="20">
  <si>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</si>
  <si>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</si>
  <si>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</si>
  <si>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1;9;18</t>
  </si>
  <si>
    <t xml:space="preserve">14;20</t>
  </si>
  <si>
    <t xml:space="preserve">6;14</t>
  </si>
  <si>
    <t xml:space="preserve">1;6;10</t>
  </si>
  <si>
    <t xml:space="preserve">16;20</t>
  </si>
  <si>
    <t xml:space="preserve">14;16</t>
  </si>
  <si>
    <t xml:space="preserve">1;14</t>
  </si>
  <si>
    <t xml:space="preserve">15;20</t>
  </si>
  <si>
    <t xml:space="preserve">14;19;20</t>
  </si>
  <si>
    <t xml:space="preserve">5;15;16</t>
  </si>
  <si>
    <t xml:space="preserve">5;20</t>
  </si>
  <si>
    <t xml:space="preserve">wait</t>
  </si>
  <si>
    <t xml:space="preserve">start</t>
  </si>
  <si>
    <t xml:space="preserve">end</t>
  </si>
  <si>
    <t xml:space="preserve">0</t>
  </si>
  <si>
    <t xml:space="preserve">https://stepik.org/lesson/1714525/step/7?unit=1737975</t>
  </si>
  <si>
    <t xml:space="preserve">https://kompege.ru/task    № 5072 (Уровень: Базовый)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</si>
</sst>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CC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kompege.ru/tas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11" activeCellId="0" sqref="E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5" hidden="false" customHeight="false" outlineLevel="0" collapsed="false">
      <c r="A2" s="1" t="n">
        <v>1</v>
      </c>
      <c r="B2" s="1" t="n">
        <v>19</v>
      </c>
      <c r="C2" s="1" t="n">
        <v>0</v>
      </c>
    </row>
    <row r="3" customFormat="false" ht="15" hidden="false" customHeight="false" outlineLevel="0" collapsed="false">
      <c r="A3" s="1" t="n">
        <v>2</v>
      </c>
      <c r="B3" s="1" t="n">
        <v>24</v>
      </c>
      <c r="C3" s="1" t="s">
        <v>3</v>
      </c>
    </row>
    <row r="4" customFormat="false" ht="15" hidden="false" customHeight="false" outlineLevel="0" collapsed="false">
      <c r="A4" s="1" t="n">
        <v>3</v>
      </c>
      <c r="B4" s="4" t="n">
        <v>24</v>
      </c>
      <c r="C4" s="1" t="n">
        <v>6</v>
      </c>
    </row>
    <row r="5" customFormat="false" ht="15" hidden="false" customHeight="false" outlineLevel="0" collapsed="false">
      <c r="A5" s="1" t="n">
        <v>4</v>
      </c>
      <c r="B5" s="1" t="n">
        <v>22</v>
      </c>
      <c r="C5" s="1" t="n">
        <v>10</v>
      </c>
    </row>
    <row r="6" customFormat="false" ht="15" hidden="false" customHeight="false" outlineLevel="0" collapsed="false">
      <c r="A6" s="1" t="n">
        <v>5</v>
      </c>
      <c r="B6" s="1" t="n">
        <v>21</v>
      </c>
      <c r="C6" s="1" t="n">
        <v>0</v>
      </c>
    </row>
    <row r="7" customFormat="false" ht="15" hidden="false" customHeight="false" outlineLevel="0" collapsed="false">
      <c r="A7" s="1" t="n">
        <v>6</v>
      </c>
      <c r="B7" s="1" t="n">
        <v>12</v>
      </c>
      <c r="C7" s="1" t="s">
        <v>4</v>
      </c>
    </row>
    <row r="8" customFormat="false" ht="15" hidden="false" customHeight="false" outlineLevel="0" collapsed="false">
      <c r="A8" s="1" t="n">
        <v>7</v>
      </c>
      <c r="B8" s="1" t="n">
        <v>26</v>
      </c>
      <c r="C8" s="1" t="s">
        <v>5</v>
      </c>
    </row>
    <row r="9" customFormat="false" ht="15" hidden="false" customHeight="false" outlineLevel="0" collapsed="false">
      <c r="A9" s="1" t="n">
        <v>8</v>
      </c>
      <c r="B9" s="1" t="n">
        <v>25</v>
      </c>
      <c r="C9" s="1" t="s">
        <v>6</v>
      </c>
    </row>
    <row r="10" customFormat="false" ht="15" hidden="false" customHeight="false" outlineLevel="0" collapsed="false">
      <c r="A10" s="1" t="n">
        <v>9</v>
      </c>
      <c r="B10" s="1" t="n">
        <v>23</v>
      </c>
      <c r="C10" s="1" t="s">
        <v>7</v>
      </c>
    </row>
    <row r="11" customFormat="false" ht="15" hidden="false" customHeight="false" outlineLevel="0" collapsed="false">
      <c r="A11" s="1" t="n">
        <v>10</v>
      </c>
      <c r="B11" s="1" t="n">
        <v>18</v>
      </c>
      <c r="C11" s="1" t="s">
        <v>8</v>
      </c>
    </row>
    <row r="12" customFormat="false" ht="15" hidden="false" customHeight="false" outlineLevel="0" collapsed="false">
      <c r="A12" s="1" t="n">
        <v>11</v>
      </c>
      <c r="B12" s="1" t="n">
        <v>27</v>
      </c>
      <c r="C12" s="1" t="s">
        <v>9</v>
      </c>
    </row>
    <row r="13" customFormat="false" ht="15" hidden="false" customHeight="false" outlineLevel="0" collapsed="false">
      <c r="A13" s="1" t="n">
        <v>12</v>
      </c>
      <c r="B13" s="1" t="n">
        <v>9</v>
      </c>
      <c r="C13" s="4" t="s">
        <v>10</v>
      </c>
    </row>
    <row r="14" customFormat="false" ht="15" hidden="false" customHeight="false" outlineLevel="0" collapsed="false">
      <c r="A14" s="1" t="n">
        <v>13</v>
      </c>
      <c r="B14" s="4" t="n">
        <v>21</v>
      </c>
      <c r="C14" s="1" t="s">
        <v>11</v>
      </c>
    </row>
    <row r="15" customFormat="false" ht="15" hidden="false" customHeight="false" outlineLevel="0" collapsed="false">
      <c r="A15" s="1" t="n">
        <v>14</v>
      </c>
      <c r="B15" s="1" t="n">
        <v>28</v>
      </c>
      <c r="C15" s="1" t="n">
        <v>0</v>
      </c>
    </row>
    <row r="16" customFormat="false" ht="15" hidden="false" customHeight="false" outlineLevel="0" collapsed="false">
      <c r="A16" s="1" t="n">
        <v>15</v>
      </c>
      <c r="B16" s="1" t="n">
        <v>28</v>
      </c>
      <c r="C16" s="1" t="n">
        <v>20</v>
      </c>
    </row>
    <row r="17" customFormat="false" ht="15" hidden="false" customHeight="false" outlineLevel="0" collapsed="false">
      <c r="A17" s="1" t="n">
        <v>16</v>
      </c>
      <c r="B17" s="1" t="n">
        <v>38</v>
      </c>
      <c r="C17" s="4" t="s">
        <v>9</v>
      </c>
    </row>
    <row r="18" customFormat="false" ht="15" hidden="false" customHeight="false" outlineLevel="0" collapsed="false">
      <c r="A18" s="1" t="n">
        <v>17</v>
      </c>
      <c r="B18" s="1" t="n">
        <v>39</v>
      </c>
      <c r="C18" s="1" t="n">
        <v>5</v>
      </c>
    </row>
    <row r="19" customFormat="false" ht="15" hidden="false" customHeight="false" outlineLevel="0" collapsed="false">
      <c r="A19" s="1" t="n">
        <v>18</v>
      </c>
      <c r="B19" s="1" t="n">
        <v>10</v>
      </c>
      <c r="C19" s="4" t="s">
        <v>12</v>
      </c>
    </row>
    <row r="20" customFormat="false" ht="15" hidden="false" customHeight="false" outlineLevel="0" collapsed="false">
      <c r="A20" s="1" t="n">
        <v>19</v>
      </c>
      <c r="B20" s="1" t="n">
        <v>16</v>
      </c>
      <c r="C20" s="1" t="s">
        <v>13</v>
      </c>
    </row>
    <row r="21" customFormat="false" ht="15" hidden="false" customHeight="false" outlineLevel="0" collapsed="false">
      <c r="A21" s="1" t="n">
        <v>20</v>
      </c>
      <c r="B21" s="1" t="n">
        <v>19</v>
      </c>
      <c r="C21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N11" activeCellId="0" sqref="N1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7.49"/>
    <col collapsed="false" customWidth="true" hidden="false" outlineLevel="0" max="10" min="4" style="0" width="7.49"/>
  </cols>
  <sheetData>
    <row r="1" customFormat="false" ht="62.25" hidden="false" customHeight="true" outlineLevel="0" collapsed="false">
      <c r="A1" s="5" t="s">
        <v>0</v>
      </c>
      <c r="B1" s="6" t="s">
        <v>1</v>
      </c>
      <c r="C1" s="6" t="s">
        <v>2</v>
      </c>
      <c r="D1" s="6"/>
      <c r="E1" s="6"/>
      <c r="F1" s="7" t="s">
        <v>14</v>
      </c>
      <c r="G1" s="7"/>
      <c r="H1" s="7"/>
      <c r="I1" s="7" t="s">
        <v>15</v>
      </c>
      <c r="J1" s="8" t="s">
        <v>16</v>
      </c>
    </row>
    <row r="2" customFormat="false" ht="13.8" hidden="false" customHeight="false" outlineLevel="0" collapsed="false">
      <c r="A2" s="9" t="n">
        <v>1</v>
      </c>
      <c r="B2" s="1" t="n">
        <v>19</v>
      </c>
      <c r="C2" s="1" t="n">
        <v>0</v>
      </c>
      <c r="D2" s="4" t="s">
        <v>17</v>
      </c>
      <c r="E2" s="4" t="s">
        <v>17</v>
      </c>
      <c r="F2" s="0" t="n">
        <f aca="false">VLOOKUP(C2,$A:$J,10,0)</f>
        <v>0</v>
      </c>
      <c r="G2" s="0" t="n">
        <f aca="false">VLOOKUP(D2,$A:$J,10,0)</f>
        <v>0</v>
      </c>
      <c r="H2" s="0" t="n">
        <f aca="false">VLOOKUP(E2,$A:$J,10,0)</f>
        <v>0</v>
      </c>
      <c r="I2" s="0" t="n">
        <f aca="false">J2-B2+1</f>
        <v>1</v>
      </c>
      <c r="J2" s="10" t="n">
        <f aca="false">IF(C2= 0,0,7) + MAX($F2:$H2) + B2</f>
        <v>19</v>
      </c>
      <c r="L2" s="11" t="n">
        <f aca="false">MAX(J$2:J$21)</f>
        <v>134</v>
      </c>
    </row>
    <row r="3" customFormat="false" ht="13.8" hidden="false" customHeight="false" outlineLevel="0" collapsed="false">
      <c r="A3" s="9" t="n">
        <v>2</v>
      </c>
      <c r="B3" s="1" t="n">
        <v>24</v>
      </c>
      <c r="C3" s="1" t="n">
        <v>1</v>
      </c>
      <c r="D3" s="4" t="n">
        <v>9</v>
      </c>
      <c r="E3" s="4" t="n">
        <v>18</v>
      </c>
      <c r="F3" s="0" t="n">
        <f aca="false">VLOOKUP(C3,$A:$J,10,0)</f>
        <v>19</v>
      </c>
      <c r="G3" s="0" t="n">
        <f aca="false">VLOOKUP(D3,$A:$J,10,0)</f>
        <v>103</v>
      </c>
      <c r="H3" s="0" t="n">
        <f aca="false">VLOOKUP(E3,$A:$J,10,0)</f>
        <v>90</v>
      </c>
      <c r="I3" s="0" t="n">
        <f aca="false">J3-B3+1</f>
        <v>111</v>
      </c>
      <c r="J3" s="12" t="n">
        <f aca="false">IF(C3= 0,0,7) + MAX($F3:$H3) + B3</f>
        <v>134</v>
      </c>
    </row>
    <row r="4" customFormat="false" ht="13.8" hidden="false" customHeight="false" outlineLevel="0" collapsed="false">
      <c r="A4" s="9" t="n">
        <v>3</v>
      </c>
      <c r="B4" s="4" t="n">
        <v>24</v>
      </c>
      <c r="C4" s="1" t="n">
        <v>6</v>
      </c>
      <c r="D4" s="4" t="s">
        <v>17</v>
      </c>
      <c r="E4" s="4" t="s">
        <v>17</v>
      </c>
      <c r="F4" s="0" t="n">
        <f aca="false">VLOOKUP(C4,$A:$J,10,0)</f>
        <v>47</v>
      </c>
      <c r="G4" s="0" t="n">
        <f aca="false">VLOOKUP(D4,$A:$J,10,0)</f>
        <v>0</v>
      </c>
      <c r="H4" s="0" t="n">
        <f aca="false">VLOOKUP(E4,$A:$J,10,0)</f>
        <v>0</v>
      </c>
      <c r="I4" s="0" t="n">
        <f aca="false">J4-B4+1</f>
        <v>55</v>
      </c>
      <c r="J4" s="10" t="n">
        <f aca="false">IF(C4= 0,0,7) + MAX($F4:$H4) + B4</f>
        <v>78</v>
      </c>
    </row>
    <row r="5" customFormat="false" ht="13.8" hidden="false" customHeight="false" outlineLevel="0" collapsed="false">
      <c r="A5" s="9" t="n">
        <v>4</v>
      </c>
      <c r="B5" s="1" t="n">
        <v>22</v>
      </c>
      <c r="C5" s="1" t="n">
        <v>10</v>
      </c>
      <c r="D5" s="4" t="s">
        <v>17</v>
      </c>
      <c r="E5" s="4" t="s">
        <v>17</v>
      </c>
      <c r="F5" s="0" t="n">
        <f aca="false">VLOOKUP(C5,$A:$J,10,0)</f>
        <v>98</v>
      </c>
      <c r="G5" s="0" t="n">
        <f aca="false">VLOOKUP(D5,$A:$J,10,0)</f>
        <v>0</v>
      </c>
      <c r="H5" s="0" t="n">
        <f aca="false">VLOOKUP(E5,$A:$J,10,0)</f>
        <v>0</v>
      </c>
      <c r="I5" s="0" t="n">
        <f aca="false">J5-B5+1</f>
        <v>106</v>
      </c>
      <c r="J5" s="10" t="n">
        <f aca="false">IF(C5= 0,0,7) + MAX($F5:$H5) + B5</f>
        <v>127</v>
      </c>
    </row>
    <row r="6" customFormat="false" ht="13.8" hidden="false" customHeight="false" outlineLevel="0" collapsed="false">
      <c r="A6" s="9" t="n">
        <v>5</v>
      </c>
      <c r="B6" s="1" t="n">
        <v>21</v>
      </c>
      <c r="C6" s="1" t="n">
        <v>0</v>
      </c>
      <c r="D6" s="4" t="s">
        <v>17</v>
      </c>
      <c r="E6" s="4" t="s">
        <v>17</v>
      </c>
      <c r="F6" s="0" t="n">
        <f aca="false">VLOOKUP(C6,$A:$J,10,0)</f>
        <v>0</v>
      </c>
      <c r="G6" s="0" t="n">
        <f aca="false">VLOOKUP(D6,$A:$J,10,0)</f>
        <v>0</v>
      </c>
      <c r="H6" s="0" t="n">
        <f aca="false">VLOOKUP(E6,$A:$J,10,0)</f>
        <v>0</v>
      </c>
      <c r="I6" s="0" t="n">
        <f aca="false">J6-B6+1</f>
        <v>1</v>
      </c>
      <c r="J6" s="10" t="n">
        <f aca="false">IF(C6= 0,0,7) + MAX($F6:$H6) + B6</f>
        <v>21</v>
      </c>
    </row>
    <row r="7" customFormat="false" ht="13.8" hidden="false" customHeight="false" outlineLevel="0" collapsed="false">
      <c r="A7" s="9" t="n">
        <v>6</v>
      </c>
      <c r="B7" s="1" t="n">
        <v>12</v>
      </c>
      <c r="C7" s="1" t="n">
        <v>14</v>
      </c>
      <c r="D7" s="4" t="n">
        <v>20</v>
      </c>
      <c r="E7" s="4" t="s">
        <v>17</v>
      </c>
      <c r="F7" s="0" t="n">
        <f aca="false">VLOOKUP(C7,$A:$J,10,0)</f>
        <v>28</v>
      </c>
      <c r="G7" s="0" t="n">
        <f aca="false">VLOOKUP(D7,$A:$J,10,0)</f>
        <v>19</v>
      </c>
      <c r="H7" s="0" t="n">
        <f aca="false">VLOOKUP(E7,$A:$J,10,0)</f>
        <v>0</v>
      </c>
      <c r="I7" s="0" t="n">
        <f aca="false">J7-B7+1</f>
        <v>36</v>
      </c>
      <c r="J7" s="10" t="n">
        <f aca="false">IF(C7= 0,0,7) + MAX($F7:$H7) + B7</f>
        <v>47</v>
      </c>
    </row>
    <row r="8" customFormat="false" ht="13.8" hidden="false" customHeight="false" outlineLevel="0" collapsed="false">
      <c r="A8" s="9" t="n">
        <v>7</v>
      </c>
      <c r="B8" s="1" t="n">
        <v>26</v>
      </c>
      <c r="C8" s="1" t="n">
        <v>6</v>
      </c>
      <c r="D8" s="4" t="n">
        <v>14</v>
      </c>
      <c r="E8" s="4" t="s">
        <v>17</v>
      </c>
      <c r="F8" s="0" t="n">
        <f aca="false">VLOOKUP(C8,$A:$J,10,0)</f>
        <v>47</v>
      </c>
      <c r="G8" s="0" t="n">
        <f aca="false">VLOOKUP(D8,$A:$J,10,0)</f>
        <v>28</v>
      </c>
      <c r="H8" s="0" t="n">
        <f aca="false">VLOOKUP(E8,$A:$J,10,0)</f>
        <v>0</v>
      </c>
      <c r="I8" s="0" t="n">
        <f aca="false">J8-B8+1</f>
        <v>55</v>
      </c>
      <c r="J8" s="10" t="n">
        <f aca="false">IF(C8= 0,0,7) + MAX($F8:$H8) + B8</f>
        <v>80</v>
      </c>
    </row>
    <row r="9" customFormat="false" ht="13.8" hidden="false" customHeight="false" outlineLevel="0" collapsed="false">
      <c r="A9" s="9" t="n">
        <v>8</v>
      </c>
      <c r="B9" s="1" t="n">
        <v>25</v>
      </c>
      <c r="C9" s="1" t="n">
        <v>1</v>
      </c>
      <c r="D9" s="4" t="n">
        <v>6</v>
      </c>
      <c r="E9" s="4" t="n">
        <v>10</v>
      </c>
      <c r="F9" s="0" t="n">
        <f aca="false">VLOOKUP(C9,$A:$J,10,0)</f>
        <v>19</v>
      </c>
      <c r="G9" s="0" t="n">
        <f aca="false">VLOOKUP(D9,$A:$J,10,0)</f>
        <v>47</v>
      </c>
      <c r="H9" s="0" t="n">
        <f aca="false">VLOOKUP(E9,$A:$J,10,0)</f>
        <v>98</v>
      </c>
      <c r="I9" s="0" t="n">
        <f aca="false">J9-B9+1</f>
        <v>106</v>
      </c>
      <c r="J9" s="10" t="n">
        <f aca="false">IF(C9= 0,0,7) + MAX($F9:$H9) + B9</f>
        <v>130</v>
      </c>
    </row>
    <row r="10" customFormat="false" ht="13.8" hidden="false" customHeight="false" outlineLevel="0" collapsed="false">
      <c r="A10" s="9" t="n">
        <v>9</v>
      </c>
      <c r="B10" s="1" t="n">
        <v>23</v>
      </c>
      <c r="C10" s="1" t="n">
        <v>16</v>
      </c>
      <c r="D10" s="4" t="n">
        <v>20</v>
      </c>
      <c r="E10" s="4" t="s">
        <v>17</v>
      </c>
      <c r="F10" s="0" t="n">
        <f aca="false">VLOOKUP(C10,$A:$J,10,0)</f>
        <v>73</v>
      </c>
      <c r="G10" s="0" t="n">
        <f aca="false">VLOOKUP(D10,$A:$J,10,0)</f>
        <v>19</v>
      </c>
      <c r="H10" s="0" t="n">
        <f aca="false">VLOOKUP(E10,$A:$J,10,0)</f>
        <v>0</v>
      </c>
      <c r="I10" s="0" t="n">
        <f aca="false">J10-B10+1</f>
        <v>81</v>
      </c>
      <c r="J10" s="10" t="n">
        <f aca="false">IF(C10= 0,0,7) + MAX($F10:$H10) + B10</f>
        <v>103</v>
      </c>
    </row>
    <row r="11" customFormat="false" ht="13.8" hidden="false" customHeight="false" outlineLevel="0" collapsed="false">
      <c r="A11" s="9" t="n">
        <v>10</v>
      </c>
      <c r="B11" s="1" t="n">
        <v>18</v>
      </c>
      <c r="C11" s="1" t="n">
        <v>14</v>
      </c>
      <c r="D11" s="4" t="n">
        <v>16</v>
      </c>
      <c r="E11" s="4" t="s">
        <v>17</v>
      </c>
      <c r="F11" s="0" t="n">
        <f aca="false">VLOOKUP(C11,$A:$J,10,0)</f>
        <v>28</v>
      </c>
      <c r="G11" s="0" t="n">
        <f aca="false">VLOOKUP(D11,$A:$J,10,0)</f>
        <v>73</v>
      </c>
      <c r="H11" s="0" t="n">
        <f aca="false">VLOOKUP(E11,$A:$J,10,0)</f>
        <v>0</v>
      </c>
      <c r="I11" s="0" t="n">
        <f aca="false">J11-B11+1</f>
        <v>81</v>
      </c>
      <c r="J11" s="10" t="n">
        <f aca="false">IF(C11= 0,0,7) + MAX($F11:$H11) + B11</f>
        <v>98</v>
      </c>
    </row>
    <row r="12" customFormat="false" ht="13.8" hidden="false" customHeight="false" outlineLevel="0" collapsed="false">
      <c r="A12" s="9" t="n">
        <v>11</v>
      </c>
      <c r="B12" s="1" t="n">
        <v>27</v>
      </c>
      <c r="C12" s="1" t="n">
        <v>1</v>
      </c>
      <c r="D12" s="4" t="n">
        <v>14</v>
      </c>
      <c r="E12" s="4" t="s">
        <v>17</v>
      </c>
      <c r="F12" s="0" t="n">
        <f aca="false">VLOOKUP(C12,$A:$J,10,0)</f>
        <v>19</v>
      </c>
      <c r="G12" s="0" t="n">
        <f aca="false">VLOOKUP(D12,$A:$J,10,0)</f>
        <v>28</v>
      </c>
      <c r="H12" s="0" t="n">
        <f aca="false">VLOOKUP(E12,$A:$J,10,0)</f>
        <v>0</v>
      </c>
      <c r="I12" s="0" t="n">
        <f aca="false">J12-B12+1</f>
        <v>36</v>
      </c>
      <c r="J12" s="10" t="n">
        <f aca="false">IF(C12= 0,0,7) + MAX($F12:$H12) + B12</f>
        <v>62</v>
      </c>
    </row>
    <row r="13" customFormat="false" ht="13.8" hidden="false" customHeight="false" outlineLevel="0" collapsed="false">
      <c r="A13" s="9" t="n">
        <v>12</v>
      </c>
      <c r="B13" s="1" t="n">
        <v>9</v>
      </c>
      <c r="C13" s="4" t="n">
        <v>15</v>
      </c>
      <c r="D13" s="4" t="n">
        <v>20</v>
      </c>
      <c r="E13" s="4" t="s">
        <v>17</v>
      </c>
      <c r="F13" s="0" t="n">
        <f aca="false">VLOOKUP(C13,$A:$J,10,0)</f>
        <v>54</v>
      </c>
      <c r="G13" s="0" t="n">
        <f aca="false">VLOOKUP(D13,$A:$J,10,0)</f>
        <v>19</v>
      </c>
      <c r="H13" s="0" t="n">
        <f aca="false">VLOOKUP(E13,$A:$J,10,0)</f>
        <v>0</v>
      </c>
      <c r="I13" s="0" t="n">
        <f aca="false">J13-B13+1</f>
        <v>62</v>
      </c>
      <c r="J13" s="10" t="n">
        <f aca="false">IF(C13= 0,0,7) + MAX($F13:$H13) + B13</f>
        <v>70</v>
      </c>
    </row>
    <row r="14" customFormat="false" ht="13.8" hidden="false" customHeight="false" outlineLevel="0" collapsed="false">
      <c r="A14" s="9" t="n">
        <v>13</v>
      </c>
      <c r="B14" s="4" t="n">
        <v>21</v>
      </c>
      <c r="C14" s="1" t="n">
        <v>14</v>
      </c>
      <c r="D14" s="4" t="n">
        <v>19</v>
      </c>
      <c r="E14" s="4" t="n">
        <v>20</v>
      </c>
      <c r="F14" s="0" t="n">
        <f aca="false">VLOOKUP(C14,$A:$J,10,0)</f>
        <v>28</v>
      </c>
      <c r="G14" s="0" t="n">
        <f aca="false">VLOOKUP(D14,$A:$J,10,0)</f>
        <v>44</v>
      </c>
      <c r="H14" s="0" t="n">
        <f aca="false">VLOOKUP(E14,$A:$J,10,0)</f>
        <v>19</v>
      </c>
      <c r="I14" s="0" t="n">
        <f aca="false">J14-B14+1</f>
        <v>52</v>
      </c>
      <c r="J14" s="10" t="n">
        <f aca="false">IF(C14= 0,0,7) + MAX($F14:$H14) + B14</f>
        <v>72</v>
      </c>
    </row>
    <row r="15" customFormat="false" ht="13.8" hidden="false" customHeight="false" outlineLevel="0" collapsed="false">
      <c r="A15" s="9" t="n">
        <v>14</v>
      </c>
      <c r="B15" s="1" t="n">
        <v>28</v>
      </c>
      <c r="C15" s="1" t="n">
        <v>0</v>
      </c>
      <c r="D15" s="4" t="s">
        <v>17</v>
      </c>
      <c r="E15" s="4" t="s">
        <v>17</v>
      </c>
      <c r="F15" s="0" t="n">
        <f aca="false">VLOOKUP(C15,$A:$J,10,0)</f>
        <v>0</v>
      </c>
      <c r="G15" s="0" t="n">
        <f aca="false">VLOOKUP(D15,$A:$J,10,0)</f>
        <v>0</v>
      </c>
      <c r="H15" s="0" t="n">
        <f aca="false">VLOOKUP(E15,$A:$J,10,0)</f>
        <v>0</v>
      </c>
      <c r="I15" s="0" t="n">
        <f aca="false">J15-B15+1</f>
        <v>1</v>
      </c>
      <c r="J15" s="10" t="n">
        <f aca="false">IF(C15= 0,0,7) + MAX($F15:$H15) + B15</f>
        <v>28</v>
      </c>
    </row>
    <row r="16" customFormat="false" ht="13.8" hidden="false" customHeight="false" outlineLevel="0" collapsed="false">
      <c r="A16" s="9" t="n">
        <v>15</v>
      </c>
      <c r="B16" s="1" t="n">
        <v>28</v>
      </c>
      <c r="C16" s="1" t="n">
        <v>20</v>
      </c>
      <c r="D16" s="4" t="s">
        <v>17</v>
      </c>
      <c r="E16" s="4" t="s">
        <v>17</v>
      </c>
      <c r="F16" s="0" t="n">
        <f aca="false">VLOOKUP(C16,$A:$J,10,0)</f>
        <v>19</v>
      </c>
      <c r="G16" s="0" t="n">
        <f aca="false">VLOOKUP(D16,$A:$J,10,0)</f>
        <v>0</v>
      </c>
      <c r="H16" s="0" t="n">
        <f aca="false">VLOOKUP(E16,$A:$J,10,0)</f>
        <v>0</v>
      </c>
      <c r="I16" s="0" t="n">
        <f aca="false">J16-B16+1</f>
        <v>27</v>
      </c>
      <c r="J16" s="10" t="n">
        <f aca="false">IF(C16= 0,0,7) + MAX($F16:$H16) + B16</f>
        <v>54</v>
      </c>
    </row>
    <row r="17" customFormat="false" ht="13.8" hidden="false" customHeight="false" outlineLevel="0" collapsed="false">
      <c r="A17" s="9" t="n">
        <v>16</v>
      </c>
      <c r="B17" s="1" t="n">
        <v>38</v>
      </c>
      <c r="C17" s="4" t="n">
        <v>1</v>
      </c>
      <c r="D17" s="4" t="n">
        <v>14</v>
      </c>
      <c r="E17" s="4" t="s">
        <v>17</v>
      </c>
      <c r="F17" s="0" t="n">
        <f aca="false">VLOOKUP(C17,$A:$J,10,0)</f>
        <v>19</v>
      </c>
      <c r="G17" s="0" t="n">
        <f aca="false">VLOOKUP(D17,$A:$J,10,0)</f>
        <v>28</v>
      </c>
      <c r="H17" s="0" t="n">
        <f aca="false">VLOOKUP(E17,$A:$J,10,0)</f>
        <v>0</v>
      </c>
      <c r="I17" s="0" t="n">
        <f aca="false">J17-B17+1</f>
        <v>36</v>
      </c>
      <c r="J17" s="10" t="n">
        <f aca="false">IF(C17= 0,0,7) + MAX($F17:$H17) + B17</f>
        <v>73</v>
      </c>
    </row>
    <row r="18" customFormat="false" ht="13.8" hidden="false" customHeight="false" outlineLevel="0" collapsed="false">
      <c r="A18" s="9" t="n">
        <v>17</v>
      </c>
      <c r="B18" s="1" t="n">
        <v>39</v>
      </c>
      <c r="C18" s="1" t="n">
        <v>5</v>
      </c>
      <c r="D18" s="4" t="s">
        <v>17</v>
      </c>
      <c r="E18" s="4" t="s">
        <v>17</v>
      </c>
      <c r="F18" s="0" t="n">
        <f aca="false">VLOOKUP(C18,$A:$J,10,0)</f>
        <v>21</v>
      </c>
      <c r="G18" s="0" t="n">
        <f aca="false">VLOOKUP(D18,$A:$J,10,0)</f>
        <v>0</v>
      </c>
      <c r="H18" s="0" t="n">
        <f aca="false">VLOOKUP(E18,$A:$J,10,0)</f>
        <v>0</v>
      </c>
      <c r="I18" s="0" t="n">
        <f aca="false">J18-B18+1</f>
        <v>29</v>
      </c>
      <c r="J18" s="10" t="n">
        <f aca="false">IF(C18= 0,0,7) + MAX($F18:$H18) + B18</f>
        <v>67</v>
      </c>
    </row>
    <row r="19" customFormat="false" ht="13.8" hidden="false" customHeight="false" outlineLevel="0" collapsed="false">
      <c r="A19" s="9" t="n">
        <v>18</v>
      </c>
      <c r="B19" s="1" t="n">
        <v>10</v>
      </c>
      <c r="C19" s="4" t="n">
        <v>5</v>
      </c>
      <c r="D19" s="4" t="n">
        <v>15</v>
      </c>
      <c r="E19" s="4" t="n">
        <v>16</v>
      </c>
      <c r="F19" s="0" t="n">
        <f aca="false">VLOOKUP(C19,$A:$J,10,0)</f>
        <v>21</v>
      </c>
      <c r="G19" s="0" t="n">
        <f aca="false">VLOOKUP(D19,$A:$J,10,0)</f>
        <v>54</v>
      </c>
      <c r="H19" s="0" t="n">
        <f aca="false">VLOOKUP(E19,$A:$J,10,0)</f>
        <v>73</v>
      </c>
      <c r="I19" s="0" t="n">
        <f aca="false">J19-B19+1</f>
        <v>81</v>
      </c>
      <c r="J19" s="10" t="n">
        <f aca="false">IF(C19= 0,0,7) + MAX($F19:$H19) + B19</f>
        <v>90</v>
      </c>
    </row>
    <row r="20" customFormat="false" ht="13.8" hidden="false" customHeight="false" outlineLevel="0" collapsed="false">
      <c r="A20" s="9" t="n">
        <v>19</v>
      </c>
      <c r="B20" s="1" t="n">
        <v>16</v>
      </c>
      <c r="C20" s="1" t="n">
        <v>5</v>
      </c>
      <c r="D20" s="4" t="n">
        <v>20</v>
      </c>
      <c r="E20" s="4" t="s">
        <v>17</v>
      </c>
      <c r="F20" s="0" t="n">
        <f aca="false">VLOOKUP(C20,$A:$J,10,0)</f>
        <v>21</v>
      </c>
      <c r="G20" s="0" t="n">
        <f aca="false">VLOOKUP(D20,$A:$J,10,0)</f>
        <v>19</v>
      </c>
      <c r="H20" s="0" t="n">
        <f aca="false">VLOOKUP(E20,$A:$J,10,0)</f>
        <v>0</v>
      </c>
      <c r="I20" s="0" t="n">
        <f aca="false">J20-B20+1</f>
        <v>29</v>
      </c>
      <c r="J20" s="10" t="n">
        <f aca="false">IF(C20= 0,0,7) + MAX($F20:$H20) + B20</f>
        <v>44</v>
      </c>
    </row>
    <row r="21" customFormat="false" ht="13.8" hidden="false" customHeight="false" outlineLevel="0" collapsed="false">
      <c r="A21" s="13" t="n">
        <v>20</v>
      </c>
      <c r="B21" s="14" t="n">
        <v>19</v>
      </c>
      <c r="C21" s="14" t="n">
        <v>0</v>
      </c>
      <c r="D21" s="15" t="s">
        <v>17</v>
      </c>
      <c r="E21" s="15" t="s">
        <v>17</v>
      </c>
      <c r="F21" s="16" t="n">
        <f aca="false">VLOOKUP(C21,$A:$J,10,0)</f>
        <v>0</v>
      </c>
      <c r="G21" s="16" t="n">
        <f aca="false">VLOOKUP(D21,$A:$J,10,0)</f>
        <v>0</v>
      </c>
      <c r="H21" s="16" t="n">
        <f aca="false">VLOOKUP(E21,$A:$J,10,0)</f>
        <v>0</v>
      </c>
      <c r="I21" s="16" t="n">
        <f aca="false">J21-B21+1</f>
        <v>1</v>
      </c>
      <c r="J21" s="17" t="n">
        <f aca="false">IF(C21= 0,0,7) + MAX($F21:$H21) + B21</f>
        <v>19</v>
      </c>
    </row>
    <row r="22" customFormat="false" ht="15" hidden="false" customHeight="false" outlineLevel="0" collapsed="false">
      <c r="A22" s="1" t="n">
        <v>0</v>
      </c>
    </row>
    <row r="25" customFormat="false" ht="13.8" hidden="false" customHeight="false" outlineLevel="0" collapsed="false">
      <c r="A25" s="1" t="s">
        <v>18</v>
      </c>
    </row>
    <row r="26" customFormat="false" ht="13.8" hidden="false" customHeight="false" outlineLevel="0" collapsed="false">
      <c r="A26" s="18" t="s">
        <v>19</v>
      </c>
    </row>
  </sheetData>
  <mergeCells count="2">
    <mergeCell ref="C1:E1"/>
    <mergeCell ref="F1:H1"/>
  </mergeCells>
  <hyperlinks>
    <hyperlink ref="A26" r:id="rId1" display="https://kompege.ru/tas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2025-12-09T13:21:30Z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